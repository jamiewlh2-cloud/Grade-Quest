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University\00_Apps_and_Tools\grade_calculator\grade_calculator (local)\grade_calculator\pdfTesting\"/>
    </mc:Choice>
  </mc:AlternateContent>
  <xr:revisionPtr revIDLastSave="0" documentId="13_ncr:1_{F1E10CE5-D8E9-4DF4-998E-F48713349629}" xr6:coauthVersionLast="47" xr6:coauthVersionMax="47" xr10:uidLastSave="{00000000-0000-0000-0000-000000000000}"/>
  <bookViews>
    <workbookView xWindow="-110" yWindow="-110" windowWidth="25820" windowHeight="15500" xr2:uid="{BC123E3F-22D2-4A36-922B-D16B18B604F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1" i="1" l="1"/>
  <c r="L20" i="1"/>
  <c r="L19" i="1"/>
  <c r="L18" i="1"/>
  <c r="L17" i="1"/>
  <c r="L16" i="1"/>
  <c r="L15" i="1"/>
  <c r="L14" i="1"/>
  <c r="L13" i="1"/>
  <c r="L12" i="1"/>
  <c r="L11" i="1"/>
  <c r="L10" i="1"/>
  <c r="L9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L8" i="1" s="1"/>
  <c r="D7" i="1"/>
  <c r="D6" i="1"/>
  <c r="D5" i="1"/>
  <c r="D4" i="1"/>
  <c r="L3" i="1"/>
  <c r="J3" i="1"/>
  <c r="G3" i="1"/>
  <c r="D3" i="1"/>
  <c r="J2" i="1"/>
  <c r="L2" i="1"/>
  <c r="G2" i="1"/>
  <c r="D2" i="1"/>
  <c r="L7" i="1" l="1"/>
  <c r="L6" i="1"/>
  <c r="L5" i="1"/>
  <c r="L4" i="1"/>
</calcChain>
</file>

<file path=xl/sharedStrings.xml><?xml version="1.0" encoding="utf-8"?>
<sst xmlns="http://schemas.openxmlformats.org/spreadsheetml/2006/main" count="32" uniqueCount="24">
  <si>
    <t>COURSE</t>
  </si>
  <si>
    <t>EXPECTED # - ASSIGNMENTS</t>
  </si>
  <si>
    <t>ACTUAL # - ASSIGNMENTS</t>
  </si>
  <si>
    <t>EXPECTED # - DATES</t>
  </si>
  <si>
    <t>ACTUAL # - DATES</t>
  </si>
  <si>
    <t>ACTUAL # - WEIGHTS</t>
  </si>
  <si>
    <t>SYLLABUS LINK</t>
  </si>
  <si>
    <t>COMPSCI 1XD3</t>
  </si>
  <si>
    <t>GOOD?</t>
  </si>
  <si>
    <t>EXPECTED % - WEIGHTS</t>
  </si>
  <si>
    <t>COMPSCI 1DM3</t>
  </si>
  <si>
    <t>C:\Users\Owner\Documents\University\01_Year_1\COMPSCI 1XD3\raw course files\McMaster University - Simple Syllabus.pdf</t>
  </si>
  <si>
    <t>C:\Users\Owner\Documents\University\01_Year_1\COMPSCI 1DM3\Raw course files\outline.pdf</t>
  </si>
  <si>
    <t>BIOLOGY 1A02</t>
  </si>
  <si>
    <t>C:\Users\Owner\Documents\University\00_Apps_and_Tools\grade_calculator\grade_calculator (local)\grade_calculator\pdfTesting\pdfs\BIOLOGY_1A02.pdf</t>
  </si>
  <si>
    <t>BIOLOGY 3ET3</t>
  </si>
  <si>
    <t>C:\Users\Owner\Documents\University\00_Apps_and_Tools\grade_calculator\grade_calculator (local)\grade_calculator\pdfTesting\pdfs\BIOLOGY_3ET3.pdf</t>
  </si>
  <si>
    <t>CHEM 1AA3</t>
  </si>
  <si>
    <t>C:\Users\Owner\Documents\University\00_Apps_and_Tools\grade_calculator\grade_calculator (local)\grade_calculator\pdfTesting\pdfs\CHEM_1AA3.pdf</t>
  </si>
  <si>
    <t>N/A</t>
  </si>
  <si>
    <t>C:\Users\Owner\Documents\University\00_Apps_and_Tools\grade_calculator\grade_calculator (local)\grade_calculator\pdfTesting\pdfs\CHEM_2OB3.pdf</t>
  </si>
  <si>
    <t>CHEM 2OB3</t>
  </si>
  <si>
    <t>CHEM 2Y03</t>
  </si>
  <si>
    <t>C:\Users\Owner\Documents\University\00_Apps_and_Tools\grade_calculator\grade_calculator (local)\grade_calculator\pdfTesting\pdfs\CHEM_2Y03.pdf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</si>
</sst>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3B08-711F-4A7F-A4FA-7AAA0DBFCD93}">
  <dimension ref="A1:L21"/>
  <sheetViews>
    <sheetView tabSelected="1" workbookViewId="0">
      <selection activeCell="J8" sqref="J8"/>
    </sheetView>
  </sheetViews>
  <sheetFormatPr defaultRowHeight="14"/>
  <cols>
    <col min="1" max="1" width="14.58203125" bestFit="1" customWidth="1"/>
    <col min="2" max="2" width="27.83203125" bestFit="1" customWidth="1"/>
    <col min="3" max="3" width="25.08203125" bestFit="1" customWidth="1"/>
    <col min="4" max="4" width="12.83203125" bestFit="1" customWidth="1"/>
    <col min="5" max="5" width="22.83203125" bestFit="1" customWidth="1"/>
    <col min="6" max="6" width="20" bestFit="1" customWidth="1"/>
    <col min="7" max="7" width="12.83203125" bestFit="1" customWidth="1"/>
    <col min="8" max="8" width="20.33203125" bestFit="1" customWidth="1"/>
    <col min="9" max="9" width="17.58203125" bestFit="1" customWidth="1"/>
    <col min="10" max="10" width="12.83203125" bestFit="1" customWidth="1"/>
    <col min="11" max="11" width="14.9140625" bestFit="1" customWidth="1"/>
    <col min="12" max="12" width="15.25" bestFit="1" customWidth="1"/>
  </cols>
  <sheetData>
    <row r="1" spans="1:12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5</v>
      </c>
      <c r="G1" t="s">
        <v>8</v>
      </c>
      <c r="H1" t="s">
        <v>3</v>
      </c>
      <c r="I1" t="s">
        <v>4</v>
      </c>
      <c r="J1" t="s">
        <v>8</v>
      </c>
      <c r="K1" t="s">
        <v>6</v>
      </c>
      <c r="L1" t="s">
        <v>8</v>
      </c>
    </row>
    <row r="2" spans="1:12">
      <c r="A2" t="s">
        <v>7</v>
      </c>
      <c r="B2">
        <v>12</v>
      </c>
      <c r="C2">
        <v>12</v>
      </c>
      <c r="D2" t="str">
        <f>IF(B2=C2, "YES", "NO")</f>
        <v>YES</v>
      </c>
      <c r="E2">
        <v>100</v>
      </c>
      <c r="F2">
        <v>100</v>
      </c>
      <c r="G2" t="str">
        <f>IF(E2=F2, "YES", "NO")</f>
        <v>YES</v>
      </c>
      <c r="H2">
        <v>12</v>
      </c>
      <c r="I2">
        <v>12</v>
      </c>
      <c r="J2" t="str">
        <f>IF(H2=I2, "YES", "NO")</f>
        <v>YES</v>
      </c>
      <c r="K2" t="s">
        <v>11</v>
      </c>
      <c r="L2" t="str">
        <f>IF(AND(D2="YES", G2="YES", J2="YES"), "YES", "NO")</f>
        <v>YES</v>
      </c>
    </row>
    <row r="3" spans="1:12">
      <c r="A3" t="s">
        <v>10</v>
      </c>
      <c r="B3">
        <v>12</v>
      </c>
      <c r="C3">
        <v>12</v>
      </c>
      <c r="D3" t="str">
        <f>IF(B3=C3, "YES", "NO")</f>
        <v>YES</v>
      </c>
      <c r="E3">
        <v>100</v>
      </c>
      <c r="F3">
        <v>100</v>
      </c>
      <c r="G3" t="str">
        <f>IF(E3=F3, "YES", "NO")</f>
        <v>YES</v>
      </c>
      <c r="H3">
        <v>0</v>
      </c>
      <c r="I3">
        <v>0</v>
      </c>
      <c r="J3" t="str">
        <f>IF(H3=I3, "YES", "NO")</f>
        <v>YES</v>
      </c>
      <c r="K3" t="s">
        <v>12</v>
      </c>
      <c r="L3" t="str">
        <f>IF(AND(D3="YES", G3="YES", J3="YES"), "YES", "NO")</f>
        <v>YES</v>
      </c>
    </row>
    <row r="4" spans="1:12">
      <c r="A4" t="s">
        <v>13</v>
      </c>
      <c r="B4">
        <v>3</v>
      </c>
      <c r="C4">
        <v>3</v>
      </c>
      <c r="D4" t="str">
        <f>IF(B4=C4, "YES", "NO")</f>
        <v>YES</v>
      </c>
      <c r="E4">
        <v>100</v>
      </c>
      <c r="F4">
        <v>100</v>
      </c>
      <c r="G4" t="str">
        <f>IF(E4=F4, "YES", "NO")</f>
        <v>YES</v>
      </c>
      <c r="H4">
        <v>3</v>
      </c>
      <c r="I4">
        <v>0</v>
      </c>
      <c r="J4" t="str">
        <f>IF(H4=I4, "YES", "NO")</f>
        <v>NO</v>
      </c>
      <c r="K4" t="s">
        <v>14</v>
      </c>
      <c r="L4" t="str">
        <f>IF(AND(D4="YES", G4="YES", J4="YES"), "YES", "NO")</f>
        <v>NO</v>
      </c>
    </row>
    <row r="5" spans="1:12">
      <c r="A5" t="s">
        <v>15</v>
      </c>
      <c r="B5">
        <v>5</v>
      </c>
      <c r="C5">
        <v>7</v>
      </c>
      <c r="D5" t="str">
        <f>IF(B5=C5, "YES", "NO")</f>
        <v>NO</v>
      </c>
      <c r="E5">
        <v>100</v>
      </c>
      <c r="F5">
        <v>305</v>
      </c>
      <c r="G5" t="str">
        <f>IF(E5=F5, "YES", "NO")</f>
        <v>NO</v>
      </c>
      <c r="H5">
        <v>0</v>
      </c>
      <c r="I5">
        <v>0</v>
      </c>
      <c r="J5" t="str">
        <f>IF(H5=I5, "YES", "NO")</f>
        <v>YES</v>
      </c>
      <c r="K5" t="s">
        <v>16</v>
      </c>
      <c r="L5" t="str">
        <f>IF(AND(D5="YES", G5="YES", J5="YES"), "YES", "NO")</f>
        <v>NO</v>
      </c>
    </row>
    <row r="6" spans="1:12">
      <c r="A6" t="s">
        <v>17</v>
      </c>
      <c r="B6" t="s">
        <v>19</v>
      </c>
      <c r="C6" t="s">
        <v>19</v>
      </c>
      <c r="D6" t="str">
        <f>IF(B6=C6, "YES", "NO")</f>
        <v>YES</v>
      </c>
      <c r="E6" t="s">
        <v>19</v>
      </c>
      <c r="F6" t="s">
        <v>19</v>
      </c>
      <c r="G6" t="str">
        <f>IF(E6=F6, "YES", "NO")</f>
        <v>YES</v>
      </c>
      <c r="H6" t="s">
        <v>19</v>
      </c>
      <c r="I6" t="s">
        <v>19</v>
      </c>
      <c r="J6" t="str">
        <f>IF(H6=I6, "YES", "NO")</f>
        <v>YES</v>
      </c>
      <c r="K6" t="s">
        <v>18</v>
      </c>
      <c r="L6" t="str">
        <f>IF(AND(D6="YES", G6="YES", J6="YES"), "YES", "NO")</f>
        <v>YES</v>
      </c>
    </row>
    <row r="7" spans="1:12">
      <c r="A7" t="s">
        <v>21</v>
      </c>
      <c r="B7">
        <v>5</v>
      </c>
      <c r="C7">
        <v>3</v>
      </c>
      <c r="D7" t="str">
        <f>IF(B7=C7, "YES", "NO")</f>
        <v>NO</v>
      </c>
      <c r="E7">
        <v>100</v>
      </c>
      <c r="F7">
        <v>75</v>
      </c>
      <c r="G7" t="str">
        <f>IF(E7=F7, "YES", "NO")</f>
        <v>NO</v>
      </c>
      <c r="H7">
        <v>0</v>
      </c>
      <c r="I7">
        <v>3</v>
      </c>
      <c r="J7" t="str">
        <f>IF(H7=I7, "YES", "NO")</f>
        <v>NO</v>
      </c>
      <c r="K7" t="s">
        <v>20</v>
      </c>
      <c r="L7" t="str">
        <f>IF(AND(D7="YES", G7="YES", J7="YES"), "YES", "NO")</f>
        <v>NO</v>
      </c>
    </row>
    <row r="8" spans="1:12">
      <c r="A8" t="s">
        <v>22</v>
      </c>
      <c r="B8">
        <v>5</v>
      </c>
      <c r="C8">
        <v>1</v>
      </c>
      <c r="D8" t="str">
        <f>IF(B8=C8, "YES", "NO")</f>
        <v>NO</v>
      </c>
      <c r="E8">
        <v>100</v>
      </c>
      <c r="F8">
        <v>10</v>
      </c>
      <c r="G8" t="str">
        <f>IF(E8=F8, "YES", "NO")</f>
        <v>NO</v>
      </c>
      <c r="H8">
        <v>3</v>
      </c>
      <c r="I8">
        <v>0</v>
      </c>
      <c r="J8" t="str">
        <f>IF(H8=I8, "YES", "NO")</f>
        <v>NO</v>
      </c>
      <c r="K8" t="s">
        <v>23</v>
      </c>
      <c r="L8" t="str">
        <f>IF(AND(D8="YES", G8="YES", J8="YES"), "YES", "NO")</f>
        <v>NO</v>
      </c>
    </row>
    <row r="9" spans="1:12">
      <c r="D9" t="str">
        <f>IF(B9=C9, "YES", "NO")</f>
        <v>YES</v>
      </c>
      <c r="G9" t="str">
        <f>IF(E9=F9, "YES", "NO")</f>
        <v>YES</v>
      </c>
      <c r="J9" t="str">
        <f>IF(H9=I9, "YES", "NO")</f>
        <v>YES</v>
      </c>
      <c r="L9" t="str">
        <f>IF(AND(D9="YES", G9="YES", J9="YES"), "YES", "NO")</f>
        <v>YES</v>
      </c>
    </row>
    <row r="10" spans="1:12">
      <c r="D10" t="str">
        <f>IF(B10=C10, "YES", "NO")</f>
        <v>YES</v>
      </c>
      <c r="G10" t="str">
        <f>IF(E10=F10, "YES", "NO")</f>
        <v>YES</v>
      </c>
      <c r="J10" t="str">
        <f>IF(H10=I10, "YES", "NO")</f>
        <v>YES</v>
      </c>
      <c r="L10" t="str">
        <f>IF(AND(D10="YES", G10="YES", J10="YES"), "YES", "NO")</f>
        <v>YES</v>
      </c>
    </row>
    <row r="11" spans="1:12">
      <c r="D11" t="str">
        <f>IF(B11=C11, "YES", "NO")</f>
        <v>YES</v>
      </c>
      <c r="G11" t="str">
        <f>IF(E11=F11, "YES", "NO")</f>
        <v>YES</v>
      </c>
      <c r="J11" t="str">
        <f>IF(H11=I11, "YES", "NO")</f>
        <v>YES</v>
      </c>
      <c r="L11" t="str">
        <f>IF(AND(D11="YES", G11="YES", J11="YES"), "YES", "NO")</f>
        <v>YES</v>
      </c>
    </row>
    <row r="12" spans="1:12">
      <c r="D12" t="str">
        <f>IF(B12=C12, "YES", "NO")</f>
        <v>YES</v>
      </c>
      <c r="G12" t="str">
        <f>IF(E12=F12, "YES", "NO")</f>
        <v>YES</v>
      </c>
      <c r="J12" t="str">
        <f>IF(H12=I12, "YES", "NO")</f>
        <v>YES</v>
      </c>
      <c r="L12" t="str">
        <f>IF(AND(D12="YES", G12="YES", J12="YES"), "YES", "NO")</f>
        <v>YES</v>
      </c>
    </row>
    <row r="13" spans="1:12">
      <c r="D13" t="str">
        <f>IF(B13=C13, "YES", "NO")</f>
        <v>YES</v>
      </c>
      <c r="G13" t="str">
        <f>IF(E13=F13, "YES", "NO")</f>
        <v>YES</v>
      </c>
      <c r="J13" t="str">
        <f>IF(H13=I13, "YES", "NO")</f>
        <v>YES</v>
      </c>
      <c r="L13" t="str">
        <f>IF(AND(D13="YES", G13="YES", J13="YES"), "YES", "NO")</f>
        <v>YES</v>
      </c>
    </row>
    <row r="14" spans="1:12">
      <c r="D14" t="str">
        <f>IF(B14=C14, "YES", "NO")</f>
        <v>YES</v>
      </c>
      <c r="G14" t="str">
        <f>IF(E14=F14, "YES", "NO")</f>
        <v>YES</v>
      </c>
      <c r="J14" t="str">
        <f>IF(H14=I14, "YES", "NO")</f>
        <v>YES</v>
      </c>
      <c r="L14" t="str">
        <f>IF(AND(D14="YES", G14="YES", J14="YES"), "YES", "NO")</f>
        <v>YES</v>
      </c>
    </row>
    <row r="15" spans="1:12">
      <c r="D15" t="str">
        <f>IF(B15=C15, "YES", "NO")</f>
        <v>YES</v>
      </c>
      <c r="G15" t="str">
        <f>IF(E15=F15, "YES", "NO")</f>
        <v>YES</v>
      </c>
      <c r="J15" t="str">
        <f>IF(H15=I15, "YES", "NO")</f>
        <v>YES</v>
      </c>
      <c r="L15" t="str">
        <f>IF(AND(D15="YES", G15="YES", J15="YES"), "YES", "NO")</f>
        <v>YES</v>
      </c>
    </row>
    <row r="16" spans="1:12">
      <c r="D16" t="str">
        <f>IF(B16=C16, "YES", "NO")</f>
        <v>YES</v>
      </c>
      <c r="G16" t="str">
        <f>IF(E16=F16, "YES", "NO")</f>
        <v>YES</v>
      </c>
      <c r="J16" t="str">
        <f>IF(H16=I16, "YES", "NO")</f>
        <v>YES</v>
      </c>
      <c r="L16" t="str">
        <f>IF(AND(D16="YES", G16="YES", J16="YES"), "YES", "NO")</f>
        <v>YES</v>
      </c>
    </row>
    <row r="17" spans="4:12">
      <c r="D17" t="str">
        <f>IF(B17=C17, "YES", "NO")</f>
        <v>YES</v>
      </c>
      <c r="G17" t="str">
        <f>IF(E17=F17, "YES", "NO")</f>
        <v>YES</v>
      </c>
      <c r="J17" t="str">
        <f>IF(H17=I17, "YES", "NO")</f>
        <v>YES</v>
      </c>
      <c r="L17" t="str">
        <f>IF(AND(D17="YES", G17="YES", J17="YES"), "YES", "NO")</f>
        <v>YES</v>
      </c>
    </row>
    <row r="18" spans="4:12">
      <c r="D18" t="str">
        <f>IF(B18=C18, "YES", "NO")</f>
        <v>YES</v>
      </c>
      <c r="G18" t="str">
        <f>IF(E18=F18, "YES", "NO")</f>
        <v>YES</v>
      </c>
      <c r="J18" t="str">
        <f>IF(H18=I18, "YES", "NO")</f>
        <v>YES</v>
      </c>
      <c r="L18" t="str">
        <f>IF(AND(D18="YES", G18="YES", J18="YES"), "YES", "NO")</f>
        <v>YES</v>
      </c>
    </row>
    <row r="19" spans="4:12">
      <c r="D19" t="str">
        <f>IF(B19=C19, "YES", "NO")</f>
        <v>YES</v>
      </c>
      <c r="G19" t="str">
        <f>IF(E19=F19, "YES", "NO")</f>
        <v>YES</v>
      </c>
      <c r="J19" t="str">
        <f>IF(H19=I19, "YES", "NO")</f>
        <v>YES</v>
      </c>
      <c r="L19" t="str">
        <f>IF(AND(D19="YES", G19="YES", J19="YES"), "YES", "NO")</f>
        <v>YES</v>
      </c>
    </row>
    <row r="20" spans="4:12">
      <c r="D20" t="str">
        <f>IF(B20=C20, "YES", "NO")</f>
        <v>YES</v>
      </c>
      <c r="G20" t="str">
        <f>IF(E20=F20, "YES", "NO")</f>
        <v>YES</v>
      </c>
      <c r="J20" t="str">
        <f>IF(H20=I20, "YES", "NO")</f>
        <v>YES</v>
      </c>
      <c r="L20" t="str">
        <f>IF(AND(D20="YES", G20="YES", J20="YES"), "YES", "NO")</f>
        <v>YES</v>
      </c>
    </row>
    <row r="21" spans="4:12">
      <c r="D21" t="str">
        <f>IF(B21=C21, "YES", "NO")</f>
        <v>YES</v>
      </c>
      <c r="G21" t="str">
        <f>IF(E21=F21, "YES", "NO")</f>
        <v>YES</v>
      </c>
      <c r="J21" t="str">
        <f>IF(H21=I21, "YES", "NO")</f>
        <v>YES</v>
      </c>
      <c r="L21" t="str">
        <f>IF(AND(D21="YES", G21="YES", J21="YES"), "YES", "NO")</f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Hammill</dc:creator>
  <cp:lastModifiedBy>Jamie Hammill</cp:lastModifiedBy>
  <dcterms:created xsi:type="dcterms:W3CDTF">2026-07-29T20:01:23Z</dcterms:created>
  <dcterms:modified xsi:type="dcterms:W3CDTF">2026-08-01T03:15:27Z</dcterms:modified>
</cp:coreProperties>
</file>